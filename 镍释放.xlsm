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huai\OneDrive - Cutting-Edge\chenhuai\python\"/>
    </mc:Choice>
  </mc:AlternateContent>
  <xr:revisionPtr revIDLastSave="1" documentId="11_9DBA6DB82D0CA1942E9B336EC15B32C6986BF0E3" xr6:coauthVersionLast="43" xr6:coauthVersionMax="43" xr10:uidLastSave="{008C14CD-81AE-450F-B4B5-985CE2BF896D}"/>
  <bookViews>
    <workbookView xWindow="-98" yWindow="-98" windowWidth="20715" windowHeight="13425" xr2:uid="{00000000-000D-0000-FFFF-FFFF00000000}"/>
  </bookViews>
  <sheets>
    <sheet name="TC_XMN_CHM_F_T.02E" sheetId="2" r:id="rId1"/>
    <sheet name="Sheet1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2" l="1"/>
  <c r="F8" i="2"/>
  <c r="E29" i="2" l="1"/>
  <c r="E28" i="2"/>
  <c r="E26" i="2"/>
  <c r="E25" i="2"/>
  <c r="E23" i="2"/>
  <c r="E22" i="2"/>
  <c r="E20" i="2"/>
  <c r="E19" i="2"/>
  <c r="E17" i="2"/>
  <c r="E16" i="2"/>
  <c r="E14" i="2"/>
  <c r="E13" i="2"/>
  <c r="E11" i="2"/>
  <c r="E10" i="2"/>
  <c r="E8" i="2"/>
  <c r="E7" i="2"/>
  <c r="G29" i="2"/>
  <c r="G28" i="2"/>
  <c r="G27" i="2"/>
  <c r="H27" i="2" s="1"/>
  <c r="G26" i="2"/>
  <c r="G25" i="2"/>
  <c r="G24" i="2"/>
  <c r="H24" i="2" s="1"/>
  <c r="G23" i="2"/>
  <c r="G22" i="2"/>
  <c r="G21" i="2"/>
  <c r="H21" i="2" s="1"/>
  <c r="G20" i="2"/>
  <c r="F29" i="2"/>
  <c r="F28" i="2"/>
  <c r="F26" i="2"/>
  <c r="F25" i="2"/>
  <c r="F23" i="2"/>
  <c r="F22" i="2"/>
  <c r="F20" i="2"/>
  <c r="F19" i="2"/>
  <c r="F17" i="2"/>
  <c r="G19" i="2"/>
  <c r="G18" i="2"/>
  <c r="H18" i="2" s="1"/>
  <c r="G17" i="2"/>
  <c r="F16" i="2"/>
  <c r="F14" i="2"/>
  <c r="G16" i="2"/>
  <c r="G15" i="2"/>
  <c r="H15" i="2" s="1"/>
  <c r="G14" i="2"/>
  <c r="F13" i="2"/>
  <c r="F11" i="2"/>
  <c r="G13" i="2"/>
  <c r="G12" i="2"/>
  <c r="H12" i="2" s="1"/>
  <c r="G11" i="2"/>
  <c r="F10" i="2"/>
  <c r="G10" i="2"/>
  <c r="G9" i="2"/>
  <c r="H9" i="2" s="1"/>
  <c r="G6" i="2"/>
  <c r="H6" i="2" s="1"/>
  <c r="G8" i="2"/>
  <c r="G7" i="2"/>
  <c r="D25" i="2" l="1"/>
  <c r="D29" i="2"/>
  <c r="D28" i="2"/>
  <c r="D26" i="2"/>
  <c r="D23" i="2"/>
  <c r="D22" i="2"/>
  <c r="D20" i="2"/>
  <c r="D19" i="2"/>
  <c r="D17" i="2"/>
  <c r="D16" i="2"/>
  <c r="D14" i="2"/>
  <c r="D13" i="2"/>
  <c r="D11" i="2"/>
  <c r="D10" i="2"/>
  <c r="D7" i="2"/>
  <c r="D8" i="2"/>
  <c r="H33" i="2" l="1"/>
  <c r="C33" i="2" l="1"/>
</calcChain>
</file>

<file path=xl/sharedStrings.xml><?xml version="1.0" encoding="utf-8"?>
<sst xmlns="http://schemas.openxmlformats.org/spreadsheetml/2006/main" count="73" uniqueCount="45">
  <si>
    <t>Sample ID</t>
  </si>
  <si>
    <t>Test method/</t>
  </si>
  <si>
    <t>standard</t>
  </si>
  <si>
    <t>Screening prior</t>
  </si>
  <si>
    <t>(N/P)</t>
  </si>
  <si>
    <t>Surface area</t>
  </si>
  <si>
    <r>
      <t>(cm</t>
    </r>
    <r>
      <rPr>
        <vertAlign val="superscript"/>
        <sz val="7.5"/>
        <color theme="1"/>
        <rFont val="Arial"/>
        <family val="2"/>
      </rPr>
      <t>2</t>
    </r>
    <r>
      <rPr>
        <sz val="7.5"/>
        <color theme="1"/>
        <rFont val="Arial"/>
        <family val="2"/>
      </rPr>
      <t>)</t>
    </r>
  </si>
  <si>
    <t>Extract volume</t>
  </si>
  <si>
    <t>(mL)</t>
  </si>
  <si>
    <t>Extract used</t>
  </si>
  <si>
    <t>Final top up</t>
  </si>
  <si>
    <t>QC</t>
  </si>
  <si>
    <t>A</t>
  </si>
  <si>
    <t>B</t>
  </si>
  <si>
    <t>C</t>
  </si>
  <si>
    <t>Remark : “N” denotes Negative , “P” denotes Positive.</t>
  </si>
  <si>
    <t>conclusion</t>
    <phoneticPr fontId="25" type="noConversion"/>
  </si>
  <si>
    <r>
      <rPr>
        <sz val="7.5"/>
        <color theme="1"/>
        <rFont val="宋体"/>
        <family val="3"/>
        <charset val="134"/>
      </rPr>
      <t>（</t>
    </r>
    <r>
      <rPr>
        <sz val="7.5"/>
        <color theme="1"/>
        <rFont val="Arial"/>
        <family val="2"/>
      </rPr>
      <t>Pass/Fail</t>
    </r>
    <r>
      <rPr>
        <sz val="7.5"/>
        <color theme="1"/>
        <rFont val="宋体"/>
        <family val="3"/>
        <charset val="134"/>
      </rPr>
      <t>）</t>
    </r>
    <phoneticPr fontId="25" type="noConversion"/>
  </si>
  <si>
    <t>Remarks</t>
    <phoneticPr fontId="25" type="noConversion"/>
  </si>
  <si>
    <t xml:space="preserve"> Test method/standard :   a. PD CR 12471:2002         b. EN12472:2005      </t>
    <phoneticPr fontId="25" type="noConversion"/>
  </si>
  <si>
    <t>-</t>
    <phoneticPr fontId="25" type="noConversion"/>
  </si>
  <si>
    <t>Pass</t>
    <phoneticPr fontId="25" type="noConversion"/>
  </si>
  <si>
    <t>Fail</t>
    <phoneticPr fontId="25" type="noConversion"/>
  </si>
  <si>
    <t>Date</t>
    <phoneticPr fontId="25" type="noConversion"/>
  </si>
  <si>
    <t xml:space="preserve">   :</t>
    <phoneticPr fontId="25" type="noConversion"/>
  </si>
  <si>
    <t>Date</t>
    <phoneticPr fontId="25" type="noConversion"/>
  </si>
  <si>
    <t xml:space="preserve">Checked by: </t>
    <phoneticPr fontId="25" type="noConversion"/>
  </si>
  <si>
    <t xml:space="preserve">  :</t>
    <phoneticPr fontId="25" type="noConversion"/>
  </si>
  <si>
    <t>Molly Miao</t>
    <phoneticPr fontId="25" type="noConversion"/>
  </si>
  <si>
    <t>Jack Lian</t>
    <phoneticPr fontId="25" type="noConversion"/>
  </si>
  <si>
    <t>Lucy Lin</t>
    <phoneticPr fontId="25" type="noConversion"/>
  </si>
  <si>
    <t>Kobe Cao</t>
    <phoneticPr fontId="25" type="noConversion"/>
  </si>
  <si>
    <t>Jesse Li</t>
    <phoneticPr fontId="25" type="noConversion"/>
  </si>
  <si>
    <t>Anne Ye</t>
    <phoneticPr fontId="25" type="noConversion"/>
  </si>
  <si>
    <t>Frank Chen</t>
    <phoneticPr fontId="25" type="noConversion"/>
  </si>
  <si>
    <t>Ida Ou</t>
    <phoneticPr fontId="25" type="noConversion"/>
  </si>
  <si>
    <t>Conducted by:</t>
    <phoneticPr fontId="25" type="noConversion"/>
  </si>
  <si>
    <t>Olny perform EN1811</t>
    <phoneticPr fontId="25" type="noConversion"/>
  </si>
  <si>
    <t xml:space="preserve">                                         c. EN1811:2012                  </t>
    <phoneticPr fontId="25" type="noConversion"/>
  </si>
  <si>
    <t>Negative</t>
    <phoneticPr fontId="25" type="noConversion"/>
  </si>
  <si>
    <t>Positive</t>
    <phoneticPr fontId="25" type="noConversion"/>
  </si>
  <si>
    <t>Lucy Lin</t>
  </si>
  <si>
    <t>13200/1</t>
  </si>
  <si>
    <t>Negative</t>
  </si>
  <si>
    <t>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</si>
</sst>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7.5"/>
      <color theme="1"/>
      <name val="Arial"/>
      <family val="2"/>
    </font>
    <font>
      <vertAlign val="superscript"/>
      <sz val="7.5"/>
      <color theme="1"/>
      <name val="Arial"/>
      <family val="2"/>
    </font>
    <font>
      <sz val="9"/>
      <color theme="1"/>
      <name val="Times New Roman"/>
      <family val="1"/>
    </font>
    <font>
      <sz val="10"/>
      <color theme="1"/>
      <name val="Arial"/>
      <family val="2"/>
    </font>
    <font>
      <sz val="9"/>
      <name val="等线"/>
      <family val="2"/>
      <charset val="134"/>
      <scheme val="minor"/>
    </font>
    <font>
      <sz val="7.5"/>
      <color theme="1"/>
      <name val="宋体"/>
      <family val="3"/>
      <charset val="134"/>
    </font>
    <font>
      <u/>
      <sz val="11"/>
      <color theme="1"/>
      <name val="等线"/>
      <family val="2"/>
      <charset val="134"/>
      <scheme val="minor"/>
    </font>
    <font>
      <sz val="9"/>
      <color rgb="FF000000"/>
      <name val="Microsoft YaHei UI"/>
      <family val="2"/>
      <charset val="134"/>
    </font>
    <font>
      <b/>
      <sz val="9"/>
      <color theme="1"/>
      <name val="Arial"/>
      <family val="2"/>
    </font>
    <font>
      <u/>
      <sz val="11"/>
      <color theme="1"/>
      <name val="等线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0" xfId="0" applyFont="1">
      <alignment vertical="center"/>
    </xf>
    <xf numFmtId="0" fontId="24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27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1" fillId="0" borderId="10" xfId="0" applyFont="1" applyBorder="1" applyAlignment="1">
      <alignment horizontal="left" vertical="center" wrapText="1"/>
    </xf>
    <xf numFmtId="0" fontId="19" fillId="0" borderId="10" xfId="0" applyNumberFormat="1" applyFont="1" applyBorder="1" applyAlignment="1" applyProtection="1">
      <alignment vertical="top" wrapText="1"/>
    </xf>
    <xf numFmtId="0" fontId="19" fillId="0" borderId="10" xfId="0" applyFont="1" applyBorder="1" applyAlignment="1" applyProtection="1">
      <alignment vertical="top" wrapText="1"/>
    </xf>
    <xf numFmtId="0" fontId="19" fillId="0" borderId="10" xfId="0" applyFont="1" applyBorder="1" applyAlignment="1">
      <alignment vertical="top" wrapText="1"/>
    </xf>
    <xf numFmtId="0" fontId="19" fillId="0" borderId="10" xfId="0" applyFont="1" applyBorder="1" applyAlignment="1">
      <alignment vertical="top" wrapText="1"/>
    </xf>
    <xf numFmtId="0" fontId="19" fillId="33" borderId="10" xfId="0" applyFont="1" applyFill="1" applyBorder="1" applyAlignment="1">
      <alignment vertical="top" wrapText="1"/>
    </xf>
    <xf numFmtId="0" fontId="19" fillId="0" borderId="10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top" wrapText="1"/>
    </xf>
    <xf numFmtId="0" fontId="23" fillId="0" borderId="13" xfId="0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top" wrapText="1"/>
    </xf>
    <xf numFmtId="0" fontId="2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4</xdr:row>
          <xdr:rowOff>167640</xdr:rowOff>
        </xdr:from>
        <xdr:to>
          <xdr:col>3</xdr:col>
          <xdr:colOff>106680</xdr:colOff>
          <xdr:row>8</xdr:row>
          <xdr:rowOff>22860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58654" y="939494"/>
              <a:ext cx="572026" cy="771590"/>
              <a:chOff x="1074420" y="1173483"/>
              <a:chExt cx="617220" cy="624836"/>
            </a:xfrm>
          </xdr:grpSpPr>
          <xdr:sp macro="" textlink="">
            <xdr:nvSpPr>
              <xdr:cNvPr id="1031" name="Check Box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74420" y="1173483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32" name="Check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33" name="Check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74420" y="1546859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25</xdr:row>
          <xdr:rowOff>210208</xdr:rowOff>
        </xdr:from>
        <xdr:to>
          <xdr:col>3</xdr:col>
          <xdr:colOff>93805</xdr:colOff>
          <xdr:row>29</xdr:row>
          <xdr:rowOff>42042</xdr:rowOff>
        </xdr:to>
        <xdr:grpSp>
          <xdr:nvGrpSpPr>
            <xdr:cNvPr id="32" name="组合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GrpSpPr/>
          </xdr:nvGrpSpPr>
          <xdr:grpSpPr>
            <a:xfrm>
              <a:off x="1037897" y="6086148"/>
              <a:ext cx="579908" cy="817179"/>
              <a:chOff x="1074420" y="1173480"/>
              <a:chExt cx="617220" cy="624841"/>
            </a:xfrm>
          </xdr:grpSpPr>
          <xdr:sp macro="" textlink="">
            <xdr:nvSpPr>
              <xdr:cNvPr id="1052" name="Check Box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074420" y="117348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53" name="Check Box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54" name="Check Box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231228</xdr:rowOff>
        </xdr:from>
        <xdr:to>
          <xdr:col>3</xdr:col>
          <xdr:colOff>99060</xdr:colOff>
          <xdr:row>11</xdr:row>
          <xdr:rowOff>7621</xdr:rowOff>
        </xdr:to>
        <xdr:grpSp>
          <xdr:nvGrpSpPr>
            <xdr:cNvPr id="35" name="组合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GrpSpPr/>
          </xdr:nvGrpSpPr>
          <xdr:grpSpPr>
            <a:xfrm>
              <a:off x="1051034" y="1673116"/>
              <a:ext cx="572026" cy="761738"/>
              <a:chOff x="1074420" y="1173482"/>
              <a:chExt cx="617220" cy="624839"/>
            </a:xfrm>
          </xdr:grpSpPr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000-000025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10</xdr:row>
          <xdr:rowOff>236483</xdr:rowOff>
        </xdr:from>
        <xdr:to>
          <xdr:col>3</xdr:col>
          <xdr:colOff>93805</xdr:colOff>
          <xdr:row>14</xdr:row>
          <xdr:rowOff>12876</xdr:rowOff>
        </xdr:to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037897" y="2417380"/>
              <a:ext cx="579908" cy="761737"/>
              <a:chOff x="1074420" y="1173482"/>
              <a:chExt cx="617220" cy="624839"/>
            </a:xfrm>
          </xdr:grpSpPr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236482</xdr:rowOff>
        </xdr:from>
        <xdr:to>
          <xdr:col>3</xdr:col>
          <xdr:colOff>99060</xdr:colOff>
          <xdr:row>17</xdr:row>
          <xdr:rowOff>12875</xdr:rowOff>
        </xdr:to>
        <xdr:grpSp>
          <xdr:nvGrpSpPr>
            <xdr:cNvPr id="43" name="组合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GrpSpPr/>
          </xdr:nvGrpSpPr>
          <xdr:grpSpPr>
            <a:xfrm>
              <a:off x="1051034" y="3156388"/>
              <a:ext cx="572026" cy="761737"/>
              <a:chOff x="1074420" y="1173482"/>
              <a:chExt cx="617220" cy="624839"/>
            </a:xfrm>
          </xdr:grpSpPr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7" name="Check Box 43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000-00002B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16</xdr:row>
          <xdr:rowOff>252247</xdr:rowOff>
        </xdr:from>
        <xdr:to>
          <xdr:col>3</xdr:col>
          <xdr:colOff>93805</xdr:colOff>
          <xdr:row>20</xdr:row>
          <xdr:rowOff>28640</xdr:rowOff>
        </xdr:to>
        <xdr:grpSp>
          <xdr:nvGrpSpPr>
            <xdr:cNvPr id="47" name="组合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GrpSpPr/>
          </xdr:nvGrpSpPr>
          <xdr:grpSpPr>
            <a:xfrm>
              <a:off x="1037897" y="3906398"/>
              <a:ext cx="579908" cy="766501"/>
              <a:chOff x="1074420" y="1173482"/>
              <a:chExt cx="617220" cy="624838"/>
            </a:xfrm>
          </xdr:grpSpPr>
          <xdr:sp macro="" textlink="">
            <xdr:nvSpPr>
              <xdr:cNvPr id="1068" name="Check Box 44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000-00002C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9" name="Check Box 45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000-00002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0" name="Check Box 46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000-00002E040000}"/>
                  </a:ext>
                </a:extLst>
              </xdr:cNvPr>
              <xdr:cNvSpPr/>
            </xdr:nvSpPr>
            <xdr:spPr bwMode="auto">
              <a:xfrm>
                <a:off x="1074420" y="15468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20</xdr:row>
          <xdr:rowOff>5254</xdr:rowOff>
        </xdr:from>
        <xdr:to>
          <xdr:col>3</xdr:col>
          <xdr:colOff>93805</xdr:colOff>
          <xdr:row>23</xdr:row>
          <xdr:rowOff>33895</xdr:rowOff>
        </xdr:to>
        <xdr:grpSp>
          <xdr:nvGrpSpPr>
            <xdr:cNvPr id="51" name="组合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GrpSpPr/>
          </xdr:nvGrpSpPr>
          <xdr:grpSpPr>
            <a:xfrm>
              <a:off x="1037897" y="4649513"/>
              <a:ext cx="579908" cy="767650"/>
              <a:chOff x="1074420" y="1173481"/>
              <a:chExt cx="617220" cy="624839"/>
            </a:xfrm>
          </xdr:grpSpPr>
          <xdr:sp macro="" textlink="">
            <xdr:nvSpPr>
              <xdr:cNvPr id="1071" name="Check Box 47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000-00002F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2" name="Check Box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3" name="Check Box 49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000-000031040000}"/>
                  </a:ext>
                </a:extLst>
              </xdr:cNvPr>
              <xdr:cNvSpPr/>
            </xdr:nvSpPr>
            <xdr:spPr bwMode="auto">
              <a:xfrm>
                <a:off x="1074420" y="15468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23</xdr:row>
          <xdr:rowOff>5253</xdr:rowOff>
        </xdr:from>
        <xdr:to>
          <xdr:col>3</xdr:col>
          <xdr:colOff>93805</xdr:colOff>
          <xdr:row>26</xdr:row>
          <xdr:rowOff>33894</xdr:rowOff>
        </xdr:to>
        <xdr:grpSp>
          <xdr:nvGrpSpPr>
            <xdr:cNvPr id="55" name="组合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037897" y="5388521"/>
              <a:ext cx="579908" cy="767649"/>
              <a:chOff x="1074420" y="1173481"/>
              <a:chExt cx="617220" cy="624839"/>
            </a:xfrm>
          </xdr:grpSpPr>
          <xdr:sp macro="" textlink="">
            <xdr:nvSpPr>
              <xdr:cNvPr id="1074" name="Check Box 50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:a16="http://schemas.microsoft.com/office/drawing/2014/main" id="{00000000-0008-0000-0000-000032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5" name="Check Box 51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:a16="http://schemas.microsoft.com/office/drawing/2014/main" id="{00000000-0008-0000-0000-000033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6" name="Check Box 52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:a16="http://schemas.microsoft.com/office/drawing/2014/main" id="{00000000-0008-0000-0000-000034040000}"/>
                  </a:ext>
                </a:extLst>
              </xdr:cNvPr>
              <xdr:cNvSpPr/>
            </xdr:nvSpPr>
            <xdr:spPr bwMode="auto">
              <a:xfrm>
                <a:off x="1074420" y="15468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4"/>
  <sheetViews>
    <sheetView tabSelected="1" view="pageBreakPreview" topLeftCell="A5" zoomScale="145" zoomScaleNormal="100" zoomScaleSheetLayoutView="145" zoomScalePageLayoutView="130" workbookViewId="0">
      <selection activeCell="E9" sqref="E9"/>
    </sheetView>
  </sheetViews>
  <sheetFormatPr defaultColWidth="8.86328125" defaultRowHeight="13.9" x14ac:dyDescent="0.4"/>
  <cols>
    <col min="1" max="1" width="10.86328125" customWidth="1"/>
    <col min="2" max="2" width="3.86328125" style="5" customWidth="1"/>
    <col min="3" max="3" width="6.59765625" style="6" customWidth="1"/>
    <col min="4" max="5" width="10.59765625" customWidth="1"/>
    <col min="6" max="6" width="9.3984375" customWidth="1"/>
    <col min="7" max="8" width="8.3984375" customWidth="1"/>
    <col min="9" max="9" width="9.1328125" customWidth="1"/>
    <col min="10" max="10" width="10.59765625" customWidth="1"/>
  </cols>
  <sheetData>
    <row r="1" spans="1:10" x14ac:dyDescent="0.4">
      <c r="A1" s="1" t="s">
        <v>19</v>
      </c>
    </row>
    <row r="2" spans="1:10" x14ac:dyDescent="0.4">
      <c r="A2" s="1" t="s">
        <v>38</v>
      </c>
    </row>
    <row r="3" spans="1:10" ht="18.75" x14ac:dyDescent="0.4">
      <c r="A3" s="30" t="s">
        <v>0</v>
      </c>
      <c r="B3" s="30"/>
      <c r="C3" s="19" t="s">
        <v>1</v>
      </c>
      <c r="D3" s="10" t="s">
        <v>3</v>
      </c>
      <c r="E3" s="10" t="s">
        <v>5</v>
      </c>
      <c r="F3" s="10" t="s">
        <v>7</v>
      </c>
      <c r="G3" s="10" t="s">
        <v>9</v>
      </c>
      <c r="H3" s="10" t="s">
        <v>10</v>
      </c>
      <c r="I3" s="10" t="s">
        <v>16</v>
      </c>
      <c r="J3" s="26" t="s">
        <v>18</v>
      </c>
    </row>
    <row r="4" spans="1:10" x14ac:dyDescent="0.4">
      <c r="A4" s="30"/>
      <c r="B4" s="30"/>
      <c r="C4" s="15" t="s">
        <v>2</v>
      </c>
      <c r="D4" s="16" t="s">
        <v>4</v>
      </c>
      <c r="E4" s="16" t="s">
        <v>6</v>
      </c>
      <c r="F4" s="16" t="s">
        <v>8</v>
      </c>
      <c r="G4" s="16" t="s">
        <v>8</v>
      </c>
      <c r="H4" s="16" t="s">
        <v>8</v>
      </c>
      <c r="I4" s="16" t="s">
        <v>17</v>
      </c>
      <c r="J4" s="32"/>
    </row>
    <row r="5" spans="1:10" x14ac:dyDescent="0.4">
      <c r="A5" s="31" t="s">
        <v>11</v>
      </c>
      <c r="B5" s="31"/>
      <c r="C5" s="11" t="s">
        <v>20</v>
      </c>
      <c r="D5" s="12" t="s">
        <v>20</v>
      </c>
      <c r="E5" s="12" t="s">
        <v>20</v>
      </c>
      <c r="F5" s="12" t="s">
        <v>20</v>
      </c>
      <c r="G5" s="12" t="s">
        <v>20</v>
      </c>
      <c r="H5" s="12" t="s">
        <v>20</v>
      </c>
      <c r="I5" s="13"/>
      <c r="J5" s="13"/>
    </row>
    <row r="6" spans="1:10" ht="19.7" customHeight="1" x14ac:dyDescent="0.4">
      <c r="A6" s="25" t="s">
        <v>42</v>
      </c>
      <c r="B6" s="14" t="s">
        <v>12</v>
      </c>
      <c r="C6" s="17"/>
      <c r="D6" s="24" t="s">
        <v>43</v>
      </c>
      <c r="E6" s="24">
        <v>8.3361000000000001</v>
      </c>
      <c r="F6" s="24">
        <v>10</v>
      </c>
      <c r="G6" s="13">
        <f>IF(F6&gt;=10,10,IF(F6&lt;&gt;"",F6,""))</f>
        <v>10</v>
      </c>
      <c r="H6" s="26">
        <f>IF(G6&lt;&gt;"",10,"")</f>
        <v>10</v>
      </c>
      <c r="I6" s="13"/>
      <c r="J6" s="33"/>
    </row>
    <row r="7" spans="1:10" ht="19.7" customHeight="1" x14ac:dyDescent="0.4">
      <c r="A7" s="25"/>
      <c r="B7" s="14" t="s">
        <v>13</v>
      </c>
      <c r="C7" s="17"/>
      <c r="D7" s="20" t="str">
        <f>IF(D6&lt;&gt;"",D6,"")</f>
        <v>Negative</v>
      </c>
      <c r="E7" s="13">
        <f>IF(E6&lt;&gt;"",E6,"")</f>
        <v>8.3361000000000001</v>
      </c>
      <c r="F7" s="23">
        <f>IF(F6&lt;&gt;"",F6,"")</f>
        <v>10</v>
      </c>
      <c r="G7" s="22">
        <f>IF(F6&gt;=10,10,IF(F6&lt;&gt;"",F6,""))</f>
        <v>10</v>
      </c>
      <c r="H7" s="26"/>
      <c r="I7" s="13"/>
      <c r="J7" s="33"/>
    </row>
    <row r="8" spans="1:10" ht="19.7" customHeight="1" x14ac:dyDescent="0.4">
      <c r="A8" s="25"/>
      <c r="B8" s="14" t="s">
        <v>14</v>
      </c>
      <c r="C8" s="17"/>
      <c r="D8" s="20" t="str">
        <f>IF(D6&lt;&gt;"",D6,"")</f>
        <v>Negative</v>
      </c>
      <c r="E8" s="22">
        <f>IF(E6&lt;&gt;"",E6,"")</f>
        <v>8.3361000000000001</v>
      </c>
      <c r="F8" s="22">
        <f>IF(F6&lt;&gt;"",F6,"")</f>
        <v>10</v>
      </c>
      <c r="G8" s="22">
        <f>IF(F6&gt;=10,10,IF(F6&lt;&gt;"",F6,""))</f>
        <v>10</v>
      </c>
      <c r="H8" s="26"/>
      <c r="I8" s="13"/>
      <c r="J8" s="33"/>
    </row>
    <row r="9" spans="1:10" ht="19.7" customHeight="1" x14ac:dyDescent="0.4">
      <c r="A9" s="25"/>
      <c r="B9" s="14" t="s">
        <v>12</v>
      </c>
      <c r="C9" s="27"/>
      <c r="D9" s="24" t="s">
        <v>44</v>
      </c>
      <c r="E9" s="24"/>
      <c r="F9" s="24"/>
      <c r="G9" s="22" t="str">
        <f>IF(F9&gt;=10,10,IF(F9&lt;&gt;"",F9,""))</f>
        <v/>
      </c>
      <c r="H9" s="26" t="str">
        <f>IF(G9&lt;&gt;"",10,"")</f>
        <v/>
      </c>
      <c r="I9" s="13"/>
      <c r="J9" s="33"/>
    </row>
    <row r="10" spans="1:10" ht="19.7" customHeight="1" x14ac:dyDescent="0.4">
      <c r="A10" s="25"/>
      <c r="B10" s="14" t="s">
        <v>13</v>
      </c>
      <c r="C10" s="28"/>
      <c r="D10" s="21" t="str">
        <f>IF(D9&lt;&gt;"",D9,"")</f>
        <v>Positive</v>
      </c>
      <c r="E10" s="13" t="str">
        <f>IF(E9&lt;&gt;"",E9,"")</f>
        <v/>
      </c>
      <c r="F10" s="22" t="str">
        <f>IF(F9&lt;&gt;"",F9,"")</f>
        <v/>
      </c>
      <c r="G10" s="22" t="str">
        <f>IF(F9&gt;=10,10,IF(F9&lt;&gt;"",F9,""))</f>
        <v/>
      </c>
      <c r="H10" s="26"/>
      <c r="I10" s="13"/>
      <c r="J10" s="33"/>
    </row>
    <row r="11" spans="1:10" ht="19.7" customHeight="1" x14ac:dyDescent="0.4">
      <c r="A11" s="25"/>
      <c r="B11" s="14" t="s">
        <v>14</v>
      </c>
      <c r="C11" s="29"/>
      <c r="D11" s="21" t="str">
        <f>IF(D9&lt;&gt;"",D9,"")</f>
        <v>Positive</v>
      </c>
      <c r="E11" s="22" t="str">
        <f>IF(E9&lt;&gt;"",E9,"")</f>
        <v/>
      </c>
      <c r="F11" s="22" t="str">
        <f>IF(F9&lt;&gt;"",F9,"")</f>
        <v/>
      </c>
      <c r="G11" s="22" t="str">
        <f>IF(F9&gt;=10,10,IF(F9&lt;&gt;"",F9,""))</f>
        <v/>
      </c>
      <c r="H11" s="26"/>
      <c r="I11" s="13"/>
      <c r="J11" s="33"/>
    </row>
    <row r="12" spans="1:10" ht="19.7" customHeight="1" x14ac:dyDescent="0.4">
      <c r="A12" s="25"/>
      <c r="B12" s="14" t="s">
        <v>12</v>
      </c>
      <c r="C12" s="27"/>
      <c r="D12" s="24"/>
      <c r="E12" s="24"/>
      <c r="F12" s="24"/>
      <c r="G12" s="13" t="str">
        <f>IF(F12&gt;=10,10,IF(F12&lt;&gt;"",F12,""))</f>
        <v/>
      </c>
      <c r="H12" s="26" t="str">
        <f t="shared" ref="H12" si="0">IF(G12&lt;&gt;"",10,"")</f>
        <v/>
      </c>
      <c r="I12" s="13"/>
      <c r="J12" s="33"/>
    </row>
    <row r="13" spans="1:10" ht="19.7" customHeight="1" x14ac:dyDescent="0.4">
      <c r="A13" s="25"/>
      <c r="B13" s="14" t="s">
        <v>13</v>
      </c>
      <c r="C13" s="28"/>
      <c r="D13" s="21" t="str">
        <f>IF(D12&lt;&gt;"",D12,"")</f>
        <v/>
      </c>
      <c r="E13" s="22" t="str">
        <f>IF(E12&lt;&gt;"",E12,"")</f>
        <v/>
      </c>
      <c r="F13" s="22" t="str">
        <f>IF(F12&lt;&gt;"",F12,"")</f>
        <v/>
      </c>
      <c r="G13" s="22" t="str">
        <f>IF(F12&gt;=10,10,IF(F12&lt;&gt;"",F12,""))</f>
        <v/>
      </c>
      <c r="H13" s="26"/>
      <c r="I13" s="13"/>
      <c r="J13" s="33"/>
    </row>
    <row r="14" spans="1:10" ht="19.7" customHeight="1" x14ac:dyDescent="0.4">
      <c r="A14" s="25"/>
      <c r="B14" s="14" t="s">
        <v>14</v>
      </c>
      <c r="C14" s="29"/>
      <c r="D14" s="21" t="str">
        <f>IF(D12&lt;&gt;"",D12,"")</f>
        <v/>
      </c>
      <c r="E14" s="22" t="str">
        <f>IF(E12&lt;&gt;"",E12,"")</f>
        <v/>
      </c>
      <c r="F14" s="22" t="str">
        <f>IF(F12&lt;&gt;"",F12,"")</f>
        <v/>
      </c>
      <c r="G14" s="22" t="str">
        <f>IF(F12&gt;=10,10,IF(F12&lt;&gt;"",F12,""))</f>
        <v/>
      </c>
      <c r="H14" s="26"/>
      <c r="I14" s="13"/>
      <c r="J14" s="33"/>
    </row>
    <row r="15" spans="1:10" ht="19.7" customHeight="1" x14ac:dyDescent="0.4">
      <c r="A15" s="25"/>
      <c r="B15" s="14" t="s">
        <v>12</v>
      </c>
      <c r="C15" s="27"/>
      <c r="D15" s="24"/>
      <c r="E15" s="24"/>
      <c r="F15" s="24"/>
      <c r="G15" s="22" t="str">
        <f>IF(F15&gt;=10,10,IF(F15&lt;&gt;"",F15,""))</f>
        <v/>
      </c>
      <c r="H15" s="26" t="str">
        <f t="shared" ref="H15" si="1">IF(G15&lt;&gt;"",10,"")</f>
        <v/>
      </c>
      <c r="I15" s="13"/>
      <c r="J15" s="33"/>
    </row>
    <row r="16" spans="1:10" ht="19.7" customHeight="1" x14ac:dyDescent="0.4">
      <c r="A16" s="25"/>
      <c r="B16" s="14" t="s">
        <v>13</v>
      </c>
      <c r="C16" s="28"/>
      <c r="D16" s="21" t="str">
        <f>IF(D15&lt;&gt;"",D15,"")</f>
        <v/>
      </c>
      <c r="E16" s="22" t="str">
        <f>IF(E15&lt;&gt;"",E15,"")</f>
        <v/>
      </c>
      <c r="F16" s="13" t="str">
        <f>IF(F15&lt;&gt;"",F15,"")</f>
        <v/>
      </c>
      <c r="G16" s="22" t="str">
        <f>IF(F15&gt;=10,10,IF(F15&lt;&gt;"",F15,""))</f>
        <v/>
      </c>
      <c r="H16" s="26"/>
      <c r="I16" s="13"/>
      <c r="J16" s="33"/>
    </row>
    <row r="17" spans="1:10" ht="19.7" customHeight="1" x14ac:dyDescent="0.4">
      <c r="A17" s="25"/>
      <c r="B17" s="14" t="s">
        <v>14</v>
      </c>
      <c r="C17" s="29"/>
      <c r="D17" s="21" t="str">
        <f>IF(D15&lt;&gt;"",D15,"")</f>
        <v/>
      </c>
      <c r="E17" s="22" t="str">
        <f>IF(E15&lt;&gt;"",E15,"")</f>
        <v/>
      </c>
      <c r="F17" s="22" t="str">
        <f>IF(F15&lt;&gt;"",F15,"")</f>
        <v/>
      </c>
      <c r="G17" s="22" t="str">
        <f>IF(F15&gt;=10,10,IF(F15&lt;&gt;"",F15,""))</f>
        <v/>
      </c>
      <c r="H17" s="26"/>
      <c r="I17" s="13"/>
      <c r="J17" s="33"/>
    </row>
    <row r="18" spans="1:10" ht="19.7" customHeight="1" x14ac:dyDescent="0.4">
      <c r="A18" s="25"/>
      <c r="B18" s="14" t="s">
        <v>12</v>
      </c>
      <c r="C18" s="27"/>
      <c r="D18" s="24"/>
      <c r="E18" s="24"/>
      <c r="F18" s="24"/>
      <c r="G18" s="22" t="str">
        <f>IF(F18&gt;=10,10,IF(F18&lt;&gt;"",F18,""))</f>
        <v/>
      </c>
      <c r="H18" s="26" t="str">
        <f t="shared" ref="H18" si="2">IF(G18&lt;&gt;"",10,"")</f>
        <v/>
      </c>
      <c r="I18" s="13"/>
      <c r="J18" s="33"/>
    </row>
    <row r="19" spans="1:10" ht="19.7" customHeight="1" x14ac:dyDescent="0.4">
      <c r="A19" s="25"/>
      <c r="B19" s="14" t="s">
        <v>13</v>
      </c>
      <c r="C19" s="28"/>
      <c r="D19" s="21" t="str">
        <f>IF(D18&lt;&gt;"",D18,"")</f>
        <v/>
      </c>
      <c r="E19" s="22" t="str">
        <f>IF(E18&lt;&gt;"",E18,"")</f>
        <v/>
      </c>
      <c r="F19" s="22" t="str">
        <f>IF(F18&lt;&gt;"",F18,"")</f>
        <v/>
      </c>
      <c r="G19" s="22" t="str">
        <f>IF(F18&gt;=10,10,IF(F18&lt;&gt;"",F18,""))</f>
        <v/>
      </c>
      <c r="H19" s="26"/>
      <c r="I19" s="13"/>
      <c r="J19" s="33"/>
    </row>
    <row r="20" spans="1:10" ht="19.7" customHeight="1" x14ac:dyDescent="0.4">
      <c r="A20" s="25"/>
      <c r="B20" s="14" t="s">
        <v>14</v>
      </c>
      <c r="C20" s="29"/>
      <c r="D20" s="21" t="str">
        <f>IF(D18&lt;&gt;"",D18,"")</f>
        <v/>
      </c>
      <c r="E20" s="22" t="str">
        <f>IF(E18&lt;&gt;"",E18,"")</f>
        <v/>
      </c>
      <c r="F20" s="22" t="str">
        <f>IF(F18&lt;&gt;"",F18,"")</f>
        <v/>
      </c>
      <c r="G20" s="22" t="str">
        <f>IF(F18&gt;=10,10,IF(F18&lt;&gt;"",F18,""))</f>
        <v/>
      </c>
      <c r="H20" s="26"/>
      <c r="I20" s="13"/>
      <c r="J20" s="33"/>
    </row>
    <row r="21" spans="1:10" ht="19.7" customHeight="1" x14ac:dyDescent="0.4">
      <c r="A21" s="25"/>
      <c r="B21" s="14" t="s">
        <v>12</v>
      </c>
      <c r="C21" s="27"/>
      <c r="D21" s="24"/>
      <c r="E21" s="24"/>
      <c r="F21" s="24"/>
      <c r="G21" s="13" t="str">
        <f>IF(F21&gt;=10,10,IF(F21&lt;&gt;"",F21,""))</f>
        <v/>
      </c>
      <c r="H21" s="26" t="str">
        <f t="shared" ref="H21" si="3">IF(G21&lt;&gt;"",10,"")</f>
        <v/>
      </c>
      <c r="I21" s="13"/>
      <c r="J21" s="33"/>
    </row>
    <row r="22" spans="1:10" ht="19.7" customHeight="1" x14ac:dyDescent="0.4">
      <c r="A22" s="25"/>
      <c r="B22" s="14" t="s">
        <v>13</v>
      </c>
      <c r="C22" s="28"/>
      <c r="D22" s="21" t="str">
        <f>IF(D21&lt;&gt;"",D21,"")</f>
        <v/>
      </c>
      <c r="E22" s="22" t="str">
        <f>IF(E21&lt;&gt;"",E21,"")</f>
        <v/>
      </c>
      <c r="F22" s="22" t="str">
        <f>IF(F21&lt;&gt;"",F21,"")</f>
        <v/>
      </c>
      <c r="G22" s="22" t="str">
        <f>IF(F21&gt;=10,10,IF(F21&lt;&gt;"",F21,""))</f>
        <v/>
      </c>
      <c r="H22" s="26"/>
      <c r="I22" s="13"/>
      <c r="J22" s="33"/>
    </row>
    <row r="23" spans="1:10" ht="19.7" customHeight="1" x14ac:dyDescent="0.4">
      <c r="A23" s="25"/>
      <c r="B23" s="14" t="s">
        <v>14</v>
      </c>
      <c r="C23" s="29"/>
      <c r="D23" s="21" t="str">
        <f>IF(D21&lt;&gt;"",D21,"")</f>
        <v/>
      </c>
      <c r="E23" s="22" t="str">
        <f>IF(E21&lt;&gt;"",E21,"")</f>
        <v/>
      </c>
      <c r="F23" s="13" t="str">
        <f>IF(F21&lt;&gt;"",F21,"")</f>
        <v/>
      </c>
      <c r="G23" s="22" t="str">
        <f>IF(F21&gt;=10,10,IF(F21&lt;&gt;"",F21,""))</f>
        <v/>
      </c>
      <c r="H23" s="26"/>
      <c r="I23" s="13"/>
      <c r="J23" s="33"/>
    </row>
    <row r="24" spans="1:10" ht="19.7" customHeight="1" x14ac:dyDescent="0.4">
      <c r="A24" s="25"/>
      <c r="B24" s="14" t="s">
        <v>12</v>
      </c>
      <c r="C24" s="27"/>
      <c r="D24" s="24"/>
      <c r="E24" s="24"/>
      <c r="F24" s="24"/>
      <c r="G24" s="22" t="str">
        <f>IF(F24&gt;=10,10,IF(F24&lt;&gt;"",F24,""))</f>
        <v/>
      </c>
      <c r="H24" s="26" t="str">
        <f t="shared" ref="H24" si="4">IF(G24&lt;&gt;"",10,"")</f>
        <v/>
      </c>
      <c r="I24" s="13"/>
      <c r="J24" s="33"/>
    </row>
    <row r="25" spans="1:10" ht="19.7" customHeight="1" x14ac:dyDescent="0.4">
      <c r="A25" s="25"/>
      <c r="B25" s="14" t="s">
        <v>13</v>
      </c>
      <c r="C25" s="28"/>
      <c r="D25" s="21" t="str">
        <f>IF(D24&lt;&gt;"",D24,"")</f>
        <v/>
      </c>
      <c r="E25" s="22" t="str">
        <f>IF(E24&lt;&gt;"",E24,"")</f>
        <v/>
      </c>
      <c r="F25" s="22" t="str">
        <f>IF(F24&lt;&gt;"",F24,"")</f>
        <v/>
      </c>
      <c r="G25" s="22" t="str">
        <f>IF(F24&gt;=10,10,IF(F24&lt;&gt;"",F24,""))</f>
        <v/>
      </c>
      <c r="H25" s="26"/>
      <c r="I25" s="13"/>
      <c r="J25" s="33"/>
    </row>
    <row r="26" spans="1:10" ht="19.7" customHeight="1" x14ac:dyDescent="0.4">
      <c r="A26" s="25"/>
      <c r="B26" s="14" t="s">
        <v>14</v>
      </c>
      <c r="C26" s="29"/>
      <c r="D26" s="21" t="str">
        <f>IF(D24&lt;&gt;"",D24,"")</f>
        <v/>
      </c>
      <c r="E26" s="22" t="str">
        <f>IF(E24&lt;&gt;"",E24,"")</f>
        <v/>
      </c>
      <c r="F26" s="22" t="str">
        <f>IF(F24&lt;&gt;"",F24,"")</f>
        <v/>
      </c>
      <c r="G26" s="22" t="str">
        <f>IF(F24&gt;=10,10,IF(F24&lt;&gt;"",F24,""))</f>
        <v/>
      </c>
      <c r="H26" s="26"/>
      <c r="I26" s="13"/>
      <c r="J26" s="33"/>
    </row>
    <row r="27" spans="1:10" ht="19.7" customHeight="1" x14ac:dyDescent="0.4">
      <c r="A27" s="25"/>
      <c r="B27" s="14" t="s">
        <v>12</v>
      </c>
      <c r="C27" s="17"/>
      <c r="D27" s="24"/>
      <c r="E27" s="24"/>
      <c r="F27" s="24"/>
      <c r="G27" s="22" t="str">
        <f>IF(F27&gt;=10,10,IF(F27&lt;&gt;"",F27,""))</f>
        <v/>
      </c>
      <c r="H27" s="26" t="str">
        <f t="shared" ref="H27" si="5">IF(G27&lt;&gt;"",10,"")</f>
        <v/>
      </c>
      <c r="I27" s="13"/>
      <c r="J27" s="33"/>
    </row>
    <row r="28" spans="1:10" ht="19.7" customHeight="1" x14ac:dyDescent="0.4">
      <c r="A28" s="25"/>
      <c r="B28" s="14" t="s">
        <v>13</v>
      </c>
      <c r="C28" s="17"/>
      <c r="D28" s="21" t="str">
        <f>IF(D27&lt;&gt;"",D27,"")</f>
        <v/>
      </c>
      <c r="E28" s="22" t="str">
        <f>IF(E27&lt;&gt;"",E27,"")</f>
        <v/>
      </c>
      <c r="F28" s="13" t="str">
        <f>IF(F27&lt;&gt;"",F27,"")</f>
        <v/>
      </c>
      <c r="G28" s="22" t="str">
        <f>IF(F27&gt;=10,10,IF(F27&lt;&gt;"",F27,""))</f>
        <v/>
      </c>
      <c r="H28" s="26"/>
      <c r="I28" s="13"/>
      <c r="J28" s="33"/>
    </row>
    <row r="29" spans="1:10" ht="19.7" customHeight="1" x14ac:dyDescent="0.4">
      <c r="A29" s="25"/>
      <c r="B29" s="14" t="s">
        <v>14</v>
      </c>
      <c r="C29" s="18"/>
      <c r="D29" s="21" t="str">
        <f>IF(D27&lt;&gt;"",D27,"")</f>
        <v/>
      </c>
      <c r="E29" s="22" t="str">
        <f>IF(E27&lt;&gt;"",E27,"")</f>
        <v/>
      </c>
      <c r="F29" s="22" t="str">
        <f>IF(F27&lt;&gt;"",F27,"")</f>
        <v/>
      </c>
      <c r="G29" s="22" t="str">
        <f>IF(F27&gt;=10,10,IF(F27&lt;&gt;"",F27,""))</f>
        <v/>
      </c>
      <c r="H29" s="26"/>
      <c r="I29" s="13"/>
      <c r="J29" s="33"/>
    </row>
    <row r="30" spans="1:10" x14ac:dyDescent="0.4">
      <c r="A30" s="3" t="s">
        <v>15</v>
      </c>
    </row>
    <row r="31" spans="1:10" x14ac:dyDescent="0.4">
      <c r="A31" s="3"/>
    </row>
    <row r="32" spans="1:10" ht="15" x14ac:dyDescent="0.4">
      <c r="A32" s="2" t="s">
        <v>36</v>
      </c>
      <c r="C32" s="34" t="s">
        <v>41</v>
      </c>
      <c r="D32" s="35"/>
      <c r="F32" s="2" t="s">
        <v>26</v>
      </c>
      <c r="H32" s="34"/>
      <c r="I32" s="34"/>
    </row>
    <row r="33" spans="1:9" ht="15" x14ac:dyDescent="0.4">
      <c r="A33" s="2" t="s">
        <v>23</v>
      </c>
      <c r="B33" s="7" t="s">
        <v>24</v>
      </c>
      <c r="C33" s="36">
        <f ca="1">NOW()</f>
        <v>43671.411310648145</v>
      </c>
      <c r="D33" s="34"/>
      <c r="F33" s="2" t="s">
        <v>25</v>
      </c>
      <c r="G33" s="4" t="s">
        <v>27</v>
      </c>
      <c r="H33" s="36">
        <f ca="1">NOW()</f>
        <v>43671.411310648145</v>
      </c>
      <c r="I33" s="34"/>
    </row>
    <row r="34" spans="1:9" ht="15" x14ac:dyDescent="0.4">
      <c r="A34" s="2"/>
      <c r="B34" s="7"/>
      <c r="C34" s="9"/>
      <c r="D34" s="8"/>
      <c r="F34" s="2"/>
      <c r="G34" s="4"/>
      <c r="H34" s="9"/>
      <c r="I34" s="8"/>
    </row>
  </sheetData>
  <sheetProtection algorithmName="SHA-512" hashValue="XSLI+YCI/KxaBMUUbFRoHlQctg0TT1XqWNcOVO3QltfPxn3QDj8h2PNLCVWutCB/slx/7PuuVY0O1HzwXuPeRQ==" saltValue="WkA8ExrzTVPBEsFukq3R9A==" spinCount="100000" sheet="1" objects="1" scenarios="1"/>
  <protectedRanges>
    <protectedRange sqref="A6:A29 D6:F6 D9:F9 J6 J9 D12:F12 D15:F15 D18:F18 J12 J15 J18 D21:F21 J21 D24:F24 D27:F27 J24 J27 C32 H32 C33 H33" name="区域1"/>
  </protectedRanges>
  <dataConsolidate/>
  <mergeCells count="37">
    <mergeCell ref="C32:D32"/>
    <mergeCell ref="C33:D33"/>
    <mergeCell ref="J27:J29"/>
    <mergeCell ref="J18:J20"/>
    <mergeCell ref="J21:J23"/>
    <mergeCell ref="J24:J26"/>
    <mergeCell ref="H32:I32"/>
    <mergeCell ref="H33:I33"/>
    <mergeCell ref="C18:C20"/>
    <mergeCell ref="C21:C23"/>
    <mergeCell ref="C24:C26"/>
    <mergeCell ref="J3:J4"/>
    <mergeCell ref="J6:J8"/>
    <mergeCell ref="J9:J11"/>
    <mergeCell ref="J12:J14"/>
    <mergeCell ref="J15:J17"/>
    <mergeCell ref="A3:B4"/>
    <mergeCell ref="A5:B5"/>
    <mergeCell ref="A6:A8"/>
    <mergeCell ref="H6:H8"/>
    <mergeCell ref="A9:A11"/>
    <mergeCell ref="H9:H11"/>
    <mergeCell ref="C9:C11"/>
    <mergeCell ref="A12:A14"/>
    <mergeCell ref="H12:H14"/>
    <mergeCell ref="A15:A17"/>
    <mergeCell ref="H15:H17"/>
    <mergeCell ref="A18:A20"/>
    <mergeCell ref="H18:H20"/>
    <mergeCell ref="C12:C14"/>
    <mergeCell ref="C15:C17"/>
    <mergeCell ref="A21:A23"/>
    <mergeCell ref="H21:H23"/>
    <mergeCell ref="A24:A26"/>
    <mergeCell ref="H24:H26"/>
    <mergeCell ref="A27:A29"/>
    <mergeCell ref="H27:H29"/>
  </mergeCells>
  <phoneticPr fontId="25" type="noConversion"/>
  <pageMargins left="0.74803149606299213" right="0.74803149606299213" top="0.98425196850393704" bottom="0.19685039370078741" header="0.51181102362204722" footer="0.51181102362204722"/>
  <pageSetup orientation="portrait" r:id="rId1"/>
  <headerFooter scaleWithDoc="0" alignWithMargins="0">
    <oddHeader>&amp;C&amp;"Arial,常规"&amp;24Nickel release test worksheet&amp;R&amp;G</oddHeader>
    <oddFooter>&amp;LTitle:
Nickel Release test worksheet
Revision: 1.0
Effective: 2019-07-23&amp;CID-Number:TC_XMN_CHM_F_T.02E
Author:JesseLi
Developed:2019-07-23
Phone:+86/(0)592-7706321&amp;RTUV SUD Xia Men Branch
 TUVSUD GroupUnit 401 
No.93 Huli Industrial Park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4</xdr:row>
                    <xdr:rowOff>166688</xdr:rowOff>
                  </from>
                  <to>
                    <xdr:col>3</xdr:col>
                    <xdr:colOff>104775</xdr:colOff>
                    <xdr:row>6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5</xdr:row>
                    <xdr:rowOff>214313</xdr:rowOff>
                  </from>
                  <to>
                    <xdr:col>3</xdr:col>
                    <xdr:colOff>104775</xdr:colOff>
                    <xdr:row>7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204788</xdr:rowOff>
                  </from>
                  <to>
                    <xdr:col>3</xdr:col>
                    <xdr:colOff>104775</xdr:colOff>
                    <xdr:row>8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Check Box 28">
              <controlPr defaultSize="0" autoFill="0" autoLine="0" autoPict="0">
                <anchor moveWithCells="1">
                  <from>
                    <xdr:col>1</xdr:col>
                    <xdr:colOff>261938</xdr:colOff>
                    <xdr:row>25</xdr:row>
                    <xdr:rowOff>209550</xdr:rowOff>
                  </from>
                  <to>
                    <xdr:col>3</xdr:col>
                    <xdr:colOff>95250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Check Box 29">
              <controlPr defaultSize="0" autoFill="0" autoLine="0" autoPict="0">
                <anchor moveWithCells="1">
                  <from>
                    <xdr:col>1</xdr:col>
                    <xdr:colOff>261938</xdr:colOff>
                    <xdr:row>26</xdr:row>
                    <xdr:rowOff>204788</xdr:rowOff>
                  </from>
                  <to>
                    <xdr:col>3</xdr:col>
                    <xdr:colOff>95250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1</xdr:col>
                    <xdr:colOff>261938</xdr:colOff>
                    <xdr:row>27</xdr:row>
                    <xdr:rowOff>204788</xdr:rowOff>
                  </from>
                  <to>
                    <xdr:col>3</xdr:col>
                    <xdr:colOff>95250</xdr:colOff>
                    <xdr:row>29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Check Box 35">
              <controlPr defaultSize="0" autoFill="0" autoLine="0" autoPict="0">
                <anchor moveWithCells="1">
                  <from>
                    <xdr:col>1</xdr:col>
                    <xdr:colOff>276225</xdr:colOff>
                    <xdr:row>7</xdr:row>
                    <xdr:rowOff>233363</xdr:rowOff>
                  </from>
                  <to>
                    <xdr:col>3</xdr:col>
                    <xdr:colOff>100013</xdr:colOff>
                    <xdr:row>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Check Box 36">
              <controlPr defaultSize="0" autoFill="0" autoLine="0" autoPict="0">
                <anchor moveWithCells="1">
                  <from>
                    <xdr:col>1</xdr:col>
                    <xdr:colOff>276225</xdr:colOff>
                    <xdr:row>8</xdr:row>
                    <xdr:rowOff>209550</xdr:rowOff>
                  </from>
                  <to>
                    <xdr:col>3</xdr:col>
                    <xdr:colOff>100013</xdr:colOff>
                    <xdr:row>10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Check Box 37">
              <controlPr defaultSize="0" autoFill="0" autoLine="0" autoPict="0">
                <anchor moveWithCells="1">
                  <from>
                    <xdr:col>1</xdr:col>
                    <xdr:colOff>276225</xdr:colOff>
                    <xdr:row>9</xdr:row>
                    <xdr:rowOff>195263</xdr:rowOff>
                  </from>
                  <to>
                    <xdr:col>3</xdr:col>
                    <xdr:colOff>100013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Check Box 38">
              <controlPr defaultSize="0" autoFill="0" autoLine="0" autoPict="0">
                <anchor moveWithCells="1">
                  <from>
                    <xdr:col>1</xdr:col>
                    <xdr:colOff>261938</xdr:colOff>
                    <xdr:row>10</xdr:row>
                    <xdr:rowOff>238125</xdr:rowOff>
                  </from>
                  <to>
                    <xdr:col>3</xdr:col>
                    <xdr:colOff>95250</xdr:colOff>
                    <xdr:row>12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Check Box 39">
              <controlPr defaultSize="0" autoFill="0" autoLine="0" autoPict="0">
                <anchor moveWithCells="1">
                  <from>
                    <xdr:col>1</xdr:col>
                    <xdr:colOff>261938</xdr:colOff>
                    <xdr:row>11</xdr:row>
                    <xdr:rowOff>214313</xdr:rowOff>
                  </from>
                  <to>
                    <xdr:col>3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autoFill="0" autoLine="0" autoPict="0">
                <anchor moveWithCells="1">
                  <from>
                    <xdr:col>1</xdr:col>
                    <xdr:colOff>261938</xdr:colOff>
                    <xdr:row>12</xdr:row>
                    <xdr:rowOff>200025</xdr:rowOff>
                  </from>
                  <to>
                    <xdr:col>3</xdr:col>
                    <xdr:colOff>95250</xdr:colOff>
                    <xdr:row>14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7" name="Check Box 41">
              <controlPr defaultSize="0" autoFill="0" autoLine="0" autoPict="0">
                <anchor moveWithCells="1">
                  <from>
                    <xdr:col>1</xdr:col>
                    <xdr:colOff>276225</xdr:colOff>
                    <xdr:row>13</xdr:row>
                    <xdr:rowOff>238125</xdr:rowOff>
                  </from>
                  <to>
                    <xdr:col>3</xdr:col>
                    <xdr:colOff>100013</xdr:colOff>
                    <xdr:row>15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Check Box 42">
              <controlPr defaultSize="0" autoFill="0" autoLine="0" autoPict="0">
                <anchor moveWithCells="1">
                  <from>
                    <xdr:col>1</xdr:col>
                    <xdr:colOff>276225</xdr:colOff>
                    <xdr:row>14</xdr:row>
                    <xdr:rowOff>214313</xdr:rowOff>
                  </from>
                  <to>
                    <xdr:col>3</xdr:col>
                    <xdr:colOff>100013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9" name="Check Box 43">
              <controlPr defaultSize="0" autoFill="0" autoLine="0" autoPict="0">
                <anchor moveWithCells="1">
                  <from>
                    <xdr:col>1</xdr:col>
                    <xdr:colOff>276225</xdr:colOff>
                    <xdr:row>15</xdr:row>
                    <xdr:rowOff>200025</xdr:rowOff>
                  </from>
                  <to>
                    <xdr:col>3</xdr:col>
                    <xdr:colOff>100013</xdr:colOff>
                    <xdr:row>17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0" name="Check Box 44">
              <controlPr defaultSize="0" autoFill="0" autoLine="0" autoPict="0">
                <anchor moveWithCells="1">
                  <from>
                    <xdr:col>1</xdr:col>
                    <xdr:colOff>261938</xdr:colOff>
                    <xdr:row>17</xdr:row>
                    <xdr:rowOff>0</xdr:rowOff>
                  </from>
                  <to>
                    <xdr:col>3</xdr:col>
                    <xdr:colOff>95250</xdr:colOff>
                    <xdr:row>18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1" name="Check Box 45">
              <controlPr defaultSize="0" autoFill="0" autoLine="0" autoPict="0">
                <anchor moveWithCells="1">
                  <from>
                    <xdr:col>1</xdr:col>
                    <xdr:colOff>261938</xdr:colOff>
                    <xdr:row>17</xdr:row>
                    <xdr:rowOff>223838</xdr:rowOff>
                  </from>
                  <to>
                    <xdr:col>3</xdr:col>
                    <xdr:colOff>95250</xdr:colOff>
                    <xdr:row>19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Check Box 46">
              <controlPr defaultSize="0" autoFill="0" autoLine="0" autoPict="0">
                <anchor moveWithCells="1">
                  <from>
                    <xdr:col>1</xdr:col>
                    <xdr:colOff>261938</xdr:colOff>
                    <xdr:row>18</xdr:row>
                    <xdr:rowOff>214313</xdr:rowOff>
                  </from>
                  <to>
                    <xdr:col>3</xdr:col>
                    <xdr:colOff>95250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Check Box 47">
              <controlPr defaultSize="0" autoFill="0" autoLine="0" autoPict="0">
                <anchor moveWithCells="1">
                  <from>
                    <xdr:col>1</xdr:col>
                    <xdr:colOff>261938</xdr:colOff>
                    <xdr:row>20</xdr:row>
                    <xdr:rowOff>4763</xdr:rowOff>
                  </from>
                  <to>
                    <xdr:col>3</xdr:col>
                    <xdr:colOff>95250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Check Box 48">
              <controlPr defaultSize="0" autoFill="0" autoLine="0" autoPict="0">
                <anchor moveWithCells="1">
                  <from>
                    <xdr:col>1</xdr:col>
                    <xdr:colOff>261938</xdr:colOff>
                    <xdr:row>20</xdr:row>
                    <xdr:rowOff>228600</xdr:rowOff>
                  </from>
                  <to>
                    <xdr:col>3</xdr:col>
                    <xdr:colOff>95250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1</xdr:col>
                    <xdr:colOff>261938</xdr:colOff>
                    <xdr:row>21</xdr:row>
                    <xdr:rowOff>219075</xdr:rowOff>
                  </from>
                  <to>
                    <xdr:col>3</xdr:col>
                    <xdr:colOff>95250</xdr:colOff>
                    <xdr:row>23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1</xdr:col>
                    <xdr:colOff>261938</xdr:colOff>
                    <xdr:row>23</xdr:row>
                    <xdr:rowOff>4763</xdr:rowOff>
                  </from>
                  <to>
                    <xdr:col>3</xdr:col>
                    <xdr:colOff>95250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1</xdr:col>
                    <xdr:colOff>261938</xdr:colOff>
                    <xdr:row>23</xdr:row>
                    <xdr:rowOff>228600</xdr:rowOff>
                  </from>
                  <to>
                    <xdr:col>3</xdr:col>
                    <xdr:colOff>95250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Check Box 52">
              <controlPr defaultSize="0" autoFill="0" autoLine="0" autoPict="0">
                <anchor moveWithCells="1">
                  <from>
                    <xdr:col>1</xdr:col>
                    <xdr:colOff>261938</xdr:colOff>
                    <xdr:row>24</xdr:row>
                    <xdr:rowOff>219075</xdr:rowOff>
                  </from>
                  <to>
                    <xdr:col>3</xdr:col>
                    <xdr:colOff>95250</xdr:colOff>
                    <xdr:row>26</xdr:row>
                    <xdr:rowOff>33338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Sheet1!$A$3:$A$4</xm:f>
          </x14:formula1>
          <xm:sqref>D6 D9 D12 D15 D18 D21 D24 D27</xm:sqref>
        </x14:dataValidation>
        <x14:dataValidation type="list" allowBlank="1" showInputMessage="1" showErrorMessage="1" xr:uid="{00000000-0002-0000-0000-000001000000}">
          <x14:formula1>
            <xm:f>Sheet1!$B$3:$B$4</xm:f>
          </x14:formula1>
          <xm:sqref>I6:I29</xm:sqref>
        </x14:dataValidation>
        <x14:dataValidation type="list" allowBlank="1" showInputMessage="1" showErrorMessage="1" xr:uid="{00000000-0002-0000-0000-000002000000}">
          <x14:formula1>
            <xm:f>Sheet1!$C$2:$C$10</xm:f>
          </x14:formula1>
          <xm:sqref>H32:I32 C32:D32</xm:sqref>
        </x14:dataValidation>
        <x14:dataValidation type="list" allowBlank="1" showInputMessage="1" showErrorMessage="1" xr:uid="{00000000-0002-0000-0000-000003000000}">
          <x14:formula1>
            <xm:f>Sheet1!$E$3</xm:f>
          </x14:formula1>
          <xm:sqref>J6:J29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E10"/>
  <sheetViews>
    <sheetView workbookViewId="0">
      <selection activeCell="F10" sqref="F10"/>
    </sheetView>
  </sheetViews>
  <sheetFormatPr defaultRowHeight="13.9" x14ac:dyDescent="0.4"/>
  <cols>
    <col min="1" max="1" width="11.3984375" customWidth="1"/>
  </cols>
  <sheetData>
    <row r="3" spans="1:5" x14ac:dyDescent="0.4">
      <c r="A3" t="s">
        <v>39</v>
      </c>
      <c r="B3" t="s">
        <v>21</v>
      </c>
      <c r="C3" t="s">
        <v>28</v>
      </c>
      <c r="E3" t="s">
        <v>37</v>
      </c>
    </row>
    <row r="4" spans="1:5" x14ac:dyDescent="0.4">
      <c r="A4" t="s">
        <v>40</v>
      </c>
      <c r="B4" t="s">
        <v>22</v>
      </c>
      <c r="C4" t="s">
        <v>29</v>
      </c>
    </row>
    <row r="5" spans="1:5" x14ac:dyDescent="0.4">
      <c r="C5" t="s">
        <v>30</v>
      </c>
    </row>
    <row r="6" spans="1:5" x14ac:dyDescent="0.4">
      <c r="C6" t="s">
        <v>31</v>
      </c>
    </row>
    <row r="7" spans="1:5" x14ac:dyDescent="0.4">
      <c r="C7" t="s">
        <v>32</v>
      </c>
    </row>
    <row r="8" spans="1:5" x14ac:dyDescent="0.4">
      <c r="C8" t="s">
        <v>33</v>
      </c>
    </row>
    <row r="9" spans="1:5" x14ac:dyDescent="0.4">
      <c r="C9" t="s">
        <v>34</v>
      </c>
    </row>
    <row r="10" spans="1:5" x14ac:dyDescent="0.4">
      <c r="C10" t="s">
        <v>35</v>
      </c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121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TC_XMN_CHM_F_T.02E</vt:lpstr>
      <vt:lpstr>Sheet1</vt:lpstr>
    </vt:vector>
  </TitlesOfParts>
  <Company>TUV Asia Pacific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Calibration</dc:title>
  <dc:creator>Kriechbaum_Gerd</dc:creator>
  <cp:lastModifiedBy>陈淮</cp:lastModifiedBy>
  <cp:revision>2</cp:revision>
  <cp:lastPrinted>2019-07-23T05:14:25Z</cp:lastPrinted>
  <dcterms:created xsi:type="dcterms:W3CDTF">2019-07-23T01:39:00Z</dcterms:created>
  <dcterms:modified xsi:type="dcterms:W3CDTF">2019-07-25T01:52:23Z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rea">
    <vt:lpwstr/>
  </property>
  <property fmtid="{D5CDD505-2E9C-101B-9397-08002B2CF9AE}" pid="3" name="Auditing">
    <vt:lpwstr/>
  </property>
  <property fmtid="{D5CDD505-2E9C-101B-9397-08002B2CF9AE}" pid="4" name="Author1">
    <vt:lpwstr>brock</vt:lpwstr>
  </property>
  <property fmtid="{D5CDD505-2E9C-101B-9397-08002B2CF9AE}" pid="5" name="DocTyp">
    <vt:lpwstr>WorkINS</vt:lpwstr>
  </property>
  <property fmtid="{D5CDD505-2E9C-101B-9397-08002B2CF9AE}" pid="6" name="DocumentID">
    <vt:lpwstr>TCH_W_11.01E</vt:lpwstr>
  </property>
  <property fmtid="{D5CDD505-2E9C-101B-9397-08002B2CF9AE}" pid="7" name="EffectiveDate">
    <vt:filetime>2004-05-01T12:00:00Z</vt:filetime>
  </property>
  <property fmtid="{D5CDD505-2E9C-101B-9397-08002B2CF9AE}" pid="8" name="Element">
    <vt:lpwstr>2.0</vt:lpwstr>
  </property>
  <property fmtid="{D5CDD505-2E9C-101B-9397-08002B2CF9AE}" pid="9" name="Format">
    <vt:lpwstr>Microsoft Word Document</vt:lpwstr>
  </property>
  <property fmtid="{D5CDD505-2E9C-101B-9397-08002B2CF9AE}" pid="10" name="Location">
    <vt:lpwstr>TCH</vt:lpwstr>
  </property>
  <property fmtid="{D5CDD505-2E9C-101B-9397-08002B2CF9AE}" pid="11" name="Organization">
    <vt:lpwstr>TPS ASIA Ltd.</vt:lpwstr>
  </property>
  <property fmtid="{D5CDD505-2E9C-101B-9397-08002B2CF9AE}" pid="12" name="PrimaryFile">
    <vt:lpwstr>TCH_W_11.01E.doc</vt:lpwstr>
  </property>
  <property fmtid="{D5CDD505-2E9C-101B-9397-08002B2CF9AE}" pid="13" name="RevisionNumber">
    <vt:lpwstr>1</vt:lpwstr>
  </property>
  <property fmtid="{D5CDD505-2E9C-101B-9397-08002B2CF9AE}" pid="14" name="SupportUnit">
    <vt:lpwstr>TCS - Technical Center Safety</vt:lpwstr>
  </property>
</Properties>
</file>